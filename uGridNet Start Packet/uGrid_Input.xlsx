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tation/Projects/1PWR/uGrid_uGridNet/uGridNet Start Packet/"/>
    </mc:Choice>
  </mc:AlternateContent>
  <xr:revisionPtr revIDLastSave="0" documentId="13_ncr:1_{57BF7063-E794-0A49-A26D-04BF1CB781F1}" xr6:coauthVersionLast="47" xr6:coauthVersionMax="47" xr10:uidLastSave="{00000000-0000-0000-0000-000000000000}"/>
  <bookViews>
    <workbookView xWindow="0" yWindow="0" windowWidth="28800" windowHeight="18000" tabRatio="500" activeTab="4" xr2:uid="{00000000-000D-0000-FFFF-FFFF00000000}"/>
  </bookViews>
  <sheets>
    <sheet name="PSO" sheetId="1" r:id="rId1"/>
    <sheet name="Econ" sheetId="2" r:id="rId2"/>
    <sheet name="Tech" sheetId="3" r:id="rId3"/>
    <sheet name="Solar" sheetId="4" r:id="rId4"/>
    <sheet name="Net" sheetId="5" r:id="rId5"/>
    <sheet name="NetComponentsCost" sheetId="6" r:id="rId6"/>
  </sheets>
  <externalReferences>
    <externalReference r:id="rId7"/>
  </externalReferences>
  <definedNames>
    <definedName name="headers">[1]PARTS!$A$1:$AMJ$1</definedName>
    <definedName name="parts">[1]PARTS!$A$3:$AMJ$1432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" i="5" l="1"/>
  <c r="J2" i="5"/>
  <c r="AL2" i="2"/>
  <c r="O2" i="2"/>
  <c r="E2" i="1"/>
</calcChain>
</file>

<file path=xl/sharedStrings.xml><?xml version="1.0" encoding="utf-8"?>
<sst xmlns="http://schemas.openxmlformats.org/spreadsheetml/2006/main" count="102" uniqueCount="101">
  <si>
    <t>maxGen</t>
  </si>
  <si>
    <t>numInd</t>
  </si>
  <si>
    <t>X_tariff_multiplier</t>
  </si>
  <si>
    <t>stopLimit</t>
  </si>
  <si>
    <t>convergenceRequirement</t>
  </si>
  <si>
    <t>lowTestLim</t>
  </si>
  <si>
    <t>highTestLim</t>
  </si>
  <si>
    <t>roundDownSize</t>
  </si>
  <si>
    <t>C1</t>
  </si>
  <si>
    <t>C2</t>
  </si>
  <si>
    <t>CF</t>
  </si>
  <si>
    <t>W</t>
  </si>
  <si>
    <t>VF</t>
  </si>
  <si>
    <t>momentum</t>
  </si>
  <si>
    <t>output_name</t>
  </si>
  <si>
    <t>alt_plot_test</t>
  </si>
  <si>
    <t>lifetime</t>
  </si>
  <si>
    <t>f_pv</t>
  </si>
  <si>
    <t>a_pv</t>
  </si>
  <si>
    <t>f</t>
  </si>
  <si>
    <t>a</t>
  </si>
  <si>
    <t>interest_rate</t>
  </si>
  <si>
    <t>term</t>
  </si>
  <si>
    <t>loanfactor</t>
  </si>
  <si>
    <t>equity_debt_ratio</t>
  </si>
  <si>
    <t>Batt_lifecycle</t>
  </si>
  <si>
    <t>node_num</t>
  </si>
  <si>
    <t>Dist_km</t>
  </si>
  <si>
    <t>Step_up_Trans_num</t>
  </si>
  <si>
    <t>Pole_Trans_num</t>
  </si>
  <si>
    <t>Cost_Dist_wire</t>
  </si>
  <si>
    <t>Cost_batt</t>
  </si>
  <si>
    <t>Cost_panel_per_kW</t>
  </si>
  <si>
    <t>Cost_control</t>
  </si>
  <si>
    <t>Cost_charge_controllers_per_kW</t>
  </si>
  <si>
    <t>Cost_Pole</t>
  </si>
  <si>
    <t>Cost_Pole_Trans</t>
  </si>
  <si>
    <t>Cost_Step_up_Trans</t>
  </si>
  <si>
    <t>Cost_Mpesa_per_kWLoad</t>
  </si>
  <si>
    <t>Cost_inv_per_kWLoad</t>
  </si>
  <si>
    <t>Cost_EPC_tracker_per_kW</t>
  </si>
  <si>
    <t>Cost_EPC_LPG_tank</t>
  </si>
  <si>
    <t>Cost_EPC_Power_house</t>
  </si>
  <si>
    <t>Cost_EPC_Labor_Plant</t>
  </si>
  <si>
    <t>Cost_EPC_Labor_Dist</t>
  </si>
  <si>
    <t>Cost_Dev_land</t>
  </si>
  <si>
    <t>Cost_Dev_EIA</t>
  </si>
  <si>
    <t>Cost_Dev_connection</t>
  </si>
  <si>
    <t>Cost_Dev_ICT</t>
  </si>
  <si>
    <t>Cost_Dev_contingency</t>
  </si>
  <si>
    <t>Cost_Dev_overhead</t>
  </si>
  <si>
    <t>Cost_taxes</t>
  </si>
  <si>
    <t>tariff_hillclimb_multiplier</t>
  </si>
  <si>
    <t>Cost_Trans_wire</t>
  </si>
  <si>
    <t>Cost_Housing_Wiring</t>
  </si>
  <si>
    <t>assuming $0.50/m</t>
  </si>
  <si>
    <t>smart</t>
  </si>
  <si>
    <t>peakload_buffer</t>
  </si>
  <si>
    <t>Batt_Charge_Limit</t>
  </si>
  <si>
    <t>trans_losses</t>
  </si>
  <si>
    <t>year</t>
  </si>
  <si>
    <t>longitude</t>
  </si>
  <si>
    <t>latitude</t>
  </si>
  <si>
    <t>timezone</t>
  </si>
  <si>
    <t>slope</t>
  </si>
  <si>
    <t>azimuth</t>
  </si>
  <si>
    <t>pg</t>
  </si>
  <si>
    <t>fpv</t>
  </si>
  <si>
    <t>alpha_p</t>
  </si>
  <si>
    <t>eff_mpp</t>
  </si>
  <si>
    <t>f_inv</t>
  </si>
  <si>
    <t>reformatScaler</t>
  </si>
  <si>
    <t>exclusionBuffer</t>
  </si>
  <si>
    <t>MaxDistancePoleConn</t>
  </si>
  <si>
    <t>minPoles</t>
  </si>
  <si>
    <t>maxPoles</t>
  </si>
  <si>
    <t>range_limit</t>
  </si>
  <si>
    <t>lat_Generation</t>
  </si>
  <si>
    <t>long_Generation</t>
  </si>
  <si>
    <t>Cost_kWh</t>
  </si>
  <si>
    <t>restoration_time_MV</t>
  </si>
  <si>
    <t>prob_MV</t>
  </si>
  <si>
    <t>restoration_time_LV</t>
  </si>
  <si>
    <t>prob_LV</t>
  </si>
  <si>
    <t>repeats</t>
  </si>
  <si>
    <t>Component</t>
  </si>
  <si>
    <t>UnitPrice</t>
  </si>
  <si>
    <t>Assembly - Pole - MV – Start</t>
  </si>
  <si>
    <t>Assembly - Step - Down – Transformer</t>
  </si>
  <si>
    <t>Assembly - Pole - MV – Mid</t>
  </si>
  <si>
    <t>Assembly - Pole - MV - Bend &lt;30</t>
  </si>
  <si>
    <t>Assembly - Pole - MV - Bend &gt;30</t>
  </si>
  <si>
    <t>Assembly - Pole - MV – End</t>
  </si>
  <si>
    <t>Assembly - Pole - LV – Mid</t>
  </si>
  <si>
    <t>Assembly - Pole - LV - Bend &lt;60</t>
  </si>
  <si>
    <t>Assembly - Pole - LV - Bend &gt;60</t>
  </si>
  <si>
    <t>Assembly - Pole - LV – End</t>
  </si>
  <si>
    <t>Wire – MV</t>
  </si>
  <si>
    <t>Wire – LV</t>
  </si>
  <si>
    <t>Wire – LineDrop</t>
  </si>
  <si>
    <t>Assembly –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</si>
</sst>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sz val="9.8000000000000007"/>
      <color rgb="FFA9B7C6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me/lufe/Dropbox/1PWR%208760/uGrid_uGridNet/uGridNet%20Start%20Packet/home/lufe/Dropbox/1PWR%208760/uGrid_uGridNet/uGridNet%20Start%20Packet/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opLeftCell="E1" zoomScaleNormal="100" workbookViewId="0">
      <selection activeCell="A2" sqref="A2"/>
    </sheetView>
  </sheetViews>
  <sheetFormatPr baseColWidth="10" defaultColWidth="8.5" defaultRowHeight="15"/>
  <cols>
    <col min="1" max="1" width="7.6640625" customWidth="1"/>
    <col min="2" max="2" width="7.1640625" customWidth="1"/>
    <col min="3" max="3" width="15.83203125" customWidth="1"/>
    <col min="5" max="5" width="22.1640625" customWidth="1"/>
    <col min="6" max="6" width="10.33203125" customWidth="1"/>
    <col min="7" max="7" width="10.6640625" customWidth="1"/>
    <col min="8" max="8" width="13.83203125" customWidth="1"/>
    <col min="9" max="10" width="3.1640625" customWidth="1"/>
    <col min="11" max="11" width="3" customWidth="1"/>
    <col min="12" max="12" width="2.83203125" customWidth="1"/>
    <col min="13" max="13" width="4" customWidth="1"/>
    <col min="14" max="14" width="10.5" customWidth="1"/>
    <col min="15" max="15" width="1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50</v>
      </c>
      <c r="B2">
        <v>20</v>
      </c>
      <c r="C2">
        <v>5.0000000000000001E-3</v>
      </c>
      <c r="D2">
        <v>1E-3</v>
      </c>
      <c r="E2">
        <f>0.75*B2</f>
        <v>15</v>
      </c>
      <c r="F2">
        <v>2.5000000000000001E-2</v>
      </c>
      <c r="G2">
        <v>0.05</v>
      </c>
      <c r="H2">
        <v>0.05</v>
      </c>
      <c r="I2">
        <v>2</v>
      </c>
      <c r="J2">
        <v>2</v>
      </c>
      <c r="K2">
        <v>1</v>
      </c>
      <c r="L2">
        <v>1</v>
      </c>
      <c r="M2">
        <v>0.1</v>
      </c>
      <c r="N2">
        <v>0.95</v>
      </c>
      <c r="O2" t="s">
        <v>15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"/>
  <sheetViews>
    <sheetView zoomScaleNormal="100" workbookViewId="0">
      <selection activeCell="I2" sqref="I2"/>
    </sheetView>
  </sheetViews>
  <sheetFormatPr baseColWidth="10" defaultColWidth="8.5" defaultRowHeight="15"/>
  <cols>
    <col min="1" max="1" width="7.1640625" customWidth="1"/>
    <col min="2" max="5" width="5" customWidth="1"/>
    <col min="6" max="6" width="11.5" customWidth="1"/>
    <col min="7" max="7" width="4.83203125" customWidth="1"/>
    <col min="8" max="8" width="9.5" customWidth="1"/>
    <col min="9" max="9" width="15.6640625" customWidth="1"/>
    <col min="10" max="10" width="12.1640625" customWidth="1"/>
    <col min="11" max="11" width="9.6640625" customWidth="1"/>
    <col min="12" max="12" width="7.5" customWidth="1"/>
    <col min="13" max="13" width="17.83203125" customWidth="1"/>
    <col min="14" max="14" width="14.6640625" customWidth="1"/>
    <col min="15" max="15" width="15.83203125" customWidth="1"/>
    <col min="16" max="16" width="9" customWidth="1"/>
    <col min="17" max="17" width="17.6640625" customWidth="1"/>
    <col min="18" max="18" width="11.5" customWidth="1"/>
    <col min="19" max="19" width="28.6640625" customWidth="1"/>
    <col min="20" max="20" width="9.1640625" customWidth="1"/>
    <col min="21" max="21" width="14.83203125" customWidth="1"/>
    <col min="22" max="22" width="17.83203125" customWidth="1"/>
    <col min="23" max="23" width="22.83203125" customWidth="1"/>
    <col min="24" max="24" width="19.5" customWidth="1"/>
    <col min="25" max="25" width="23.1640625" customWidth="1"/>
    <col min="26" max="26" width="17.6640625" customWidth="1"/>
    <col min="27" max="27" width="21.1640625" customWidth="1"/>
    <col min="28" max="28" width="19.83203125" customWidth="1"/>
    <col min="29" max="29" width="18.83203125" customWidth="1"/>
    <col min="30" max="30" width="13.33203125" customWidth="1"/>
    <col min="31" max="31" width="12.5" customWidth="1"/>
    <col min="32" max="32" width="19.1640625" customWidth="1"/>
    <col min="33" max="33" width="12.5" customWidth="1"/>
    <col min="34" max="34" width="19.83203125" customWidth="1"/>
    <col min="35" max="35" width="17.6640625" customWidth="1"/>
    <col min="36" max="36" width="10" customWidth="1"/>
    <col min="37" max="37" width="21.83203125" customWidth="1"/>
    <col min="38" max="38" width="15.83203125" customWidth="1"/>
    <col min="39" max="39" width="18.5" customWidth="1"/>
  </cols>
  <sheetData>
    <row r="1" spans="1:3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</row>
    <row r="2" spans="1:39">
      <c r="A2">
        <v>15</v>
      </c>
      <c r="B2">
        <v>0.25</v>
      </c>
      <c r="C2">
        <v>0.25</v>
      </c>
      <c r="D2">
        <v>1.25</v>
      </c>
      <c r="E2">
        <v>0.25</v>
      </c>
      <c r="F2">
        <v>0.03</v>
      </c>
      <c r="G2">
        <v>12</v>
      </c>
      <c r="H2">
        <v>1</v>
      </c>
      <c r="I2">
        <v>0</v>
      </c>
      <c r="J2">
        <v>1750</v>
      </c>
      <c r="K2">
        <v>213</v>
      </c>
      <c r="L2">
        <v>8.5</v>
      </c>
      <c r="M2">
        <v>1</v>
      </c>
      <c r="N2">
        <v>5</v>
      </c>
      <c r="O2">
        <f>0.5*1000</f>
        <v>500</v>
      </c>
      <c r="P2">
        <v>150</v>
      </c>
      <c r="Q2">
        <v>450</v>
      </c>
      <c r="R2">
        <v>5000</v>
      </c>
      <c r="S2">
        <v>150</v>
      </c>
      <c r="T2">
        <v>40</v>
      </c>
      <c r="U2">
        <v>150</v>
      </c>
      <c r="V2">
        <v>1000</v>
      </c>
      <c r="W2">
        <v>70</v>
      </c>
      <c r="X2">
        <v>800</v>
      </c>
      <c r="Y2">
        <v>200</v>
      </c>
      <c r="Z2">
        <v>5000</v>
      </c>
      <c r="AA2">
        <v>2500</v>
      </c>
      <c r="AB2">
        <v>14200</v>
      </c>
      <c r="AC2">
        <v>5500</v>
      </c>
      <c r="AD2">
        <v>2000</v>
      </c>
      <c r="AE2">
        <v>2000</v>
      </c>
      <c r="AF2">
        <v>1000</v>
      </c>
      <c r="AG2">
        <v>3250</v>
      </c>
      <c r="AH2">
        <v>10000</v>
      </c>
      <c r="AI2">
        <v>10000</v>
      </c>
      <c r="AJ2">
        <v>1500</v>
      </c>
      <c r="AK2">
        <v>1.01</v>
      </c>
      <c r="AL2">
        <f>1*1000</f>
        <v>1000</v>
      </c>
      <c r="AM2">
        <v>250</v>
      </c>
    </row>
    <row r="3" spans="1:39">
      <c r="O3" t="s">
        <v>55</v>
      </c>
      <c r="AL3" t="s">
        <v>55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G15" sqref="G15"/>
    </sheetView>
  </sheetViews>
  <sheetFormatPr baseColWidth="10" defaultColWidth="8.5" defaultRowHeight="15"/>
  <cols>
    <col min="1" max="1" width="5.6640625" customWidth="1"/>
    <col min="2" max="2" width="14.5" customWidth="1"/>
    <col min="3" max="3" width="16.1640625" customWidth="1"/>
    <col min="4" max="4" width="11" customWidth="1"/>
  </cols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>
        <v>1</v>
      </c>
      <c r="B2">
        <v>1.2</v>
      </c>
      <c r="C2">
        <v>0.2</v>
      </c>
      <c r="D2">
        <v>0.08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topLeftCell="B1" zoomScaleNormal="100" workbookViewId="0">
      <selection activeCell="K2" sqref="K2"/>
    </sheetView>
  </sheetViews>
  <sheetFormatPr baseColWidth="10" defaultColWidth="8.5" defaultRowHeight="15"/>
  <sheetData>
    <row r="1" spans="1:1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 spans="1:11">
      <c r="A2">
        <v>2005</v>
      </c>
      <c r="B2">
        <v>-33</v>
      </c>
      <c r="C2">
        <v>18</v>
      </c>
      <c r="D2">
        <v>2</v>
      </c>
      <c r="E2">
        <v>0</v>
      </c>
      <c r="F2">
        <v>0</v>
      </c>
      <c r="G2">
        <v>0.2</v>
      </c>
      <c r="H2">
        <v>0.9</v>
      </c>
      <c r="I2">
        <v>-2E-3</v>
      </c>
      <c r="J2">
        <v>0.9</v>
      </c>
      <c r="K2">
        <v>0.9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tabSelected="1" zoomScaleNormal="100" workbookViewId="0">
      <selection activeCell="D3" sqref="D3"/>
    </sheetView>
  </sheetViews>
  <sheetFormatPr baseColWidth="10" defaultColWidth="8.5" defaultRowHeight="15"/>
  <cols>
    <col min="1" max="1" width="13.33203125" customWidth="1"/>
    <col min="2" max="2" width="13.83203125" customWidth="1"/>
    <col min="3" max="3" width="19.5" customWidth="1"/>
    <col min="4" max="4" width="8.33203125" customWidth="1"/>
    <col min="5" max="5" width="8.83203125" customWidth="1"/>
    <col min="6" max="6" width="10.1640625" customWidth="1"/>
    <col min="7" max="7" width="13.33203125" customWidth="1"/>
    <col min="8" max="8" width="14.6640625" customWidth="1"/>
    <col min="9" max="9" width="12" customWidth="1"/>
    <col min="10" max="10" width="18.83203125" customWidth="1"/>
    <col min="12" max="12" width="18" customWidth="1"/>
    <col min="13" max="13" width="7.83203125" customWidth="1"/>
  </cols>
  <sheetData>
    <row r="1" spans="1:14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</row>
    <row r="2" spans="1:14" ht="16">
      <c r="A2">
        <v>1</v>
      </c>
      <c r="B2">
        <v>2</v>
      </c>
      <c r="C2">
        <v>50</v>
      </c>
      <c r="D2">
        <v>63</v>
      </c>
      <c r="E2">
        <v>85</v>
      </c>
      <c r="F2">
        <v>500</v>
      </c>
      <c r="G2" s="6">
        <v>-29.873325000000001</v>
      </c>
      <c r="H2" s="6">
        <v>28.61674</v>
      </c>
      <c r="I2">
        <v>0.34343958370448102</v>
      </c>
      <c r="J2">
        <f>7*24</f>
        <v>168</v>
      </c>
      <c r="K2">
        <v>0</v>
      </c>
      <c r="L2">
        <f>7*24</f>
        <v>168</v>
      </c>
      <c r="M2">
        <v>0</v>
      </c>
      <c r="N2">
        <v>1</v>
      </c>
    </row>
    <row r="3" spans="1:14">
      <c r="D3" s="7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zoomScale="71" zoomScaleNormal="71" workbookViewId="0">
      <selection activeCell="D22" sqref="D22"/>
    </sheetView>
  </sheetViews>
  <sheetFormatPr baseColWidth="10" defaultColWidth="9.1640625" defaultRowHeight="15"/>
  <cols>
    <col min="1" max="1" width="40.1640625" style="1" customWidth="1"/>
    <col min="2" max="2" width="12.6640625" customWidth="1"/>
  </cols>
  <sheetData>
    <row r="1" spans="1:2">
      <c r="A1" s="2" t="s">
        <v>85</v>
      </c>
      <c r="B1" s="3" t="s">
        <v>86</v>
      </c>
    </row>
    <row r="2" spans="1:2">
      <c r="A2" s="1" t="s">
        <v>87</v>
      </c>
      <c r="B2" s="4">
        <v>4843.6050704225399</v>
      </c>
    </row>
    <row r="3" spans="1:2">
      <c r="A3" s="1" t="s">
        <v>88</v>
      </c>
      <c r="B3" s="4">
        <v>2052.7914788732401</v>
      </c>
    </row>
    <row r="4" spans="1:2">
      <c r="A4" s="1" t="s">
        <v>89</v>
      </c>
      <c r="B4" s="4">
        <v>193.130345070423</v>
      </c>
    </row>
    <row r="5" spans="1:2">
      <c r="A5" s="1" t="s">
        <v>90</v>
      </c>
      <c r="B5" s="4">
        <v>305.027464788732</v>
      </c>
    </row>
    <row r="6" spans="1:2">
      <c r="A6" s="1" t="s">
        <v>91</v>
      </c>
      <c r="B6" s="4">
        <v>430.23233098591601</v>
      </c>
    </row>
    <row r="7" spans="1:2">
      <c r="A7" s="1" t="s">
        <v>92</v>
      </c>
      <c r="B7" s="4">
        <v>193.33028169014099</v>
      </c>
    </row>
    <row r="8" spans="1:2">
      <c r="A8" s="1" t="s">
        <v>93</v>
      </c>
      <c r="B8" s="4">
        <v>52.491533802816903</v>
      </c>
    </row>
    <row r="9" spans="1:2">
      <c r="A9" s="1" t="s">
        <v>94</v>
      </c>
      <c r="B9" s="4">
        <v>80.771533802816904</v>
      </c>
    </row>
    <row r="10" spans="1:2">
      <c r="A10" s="1" t="s">
        <v>95</v>
      </c>
      <c r="B10" s="4">
        <v>114.961392957746</v>
      </c>
    </row>
    <row r="11" spans="1:2">
      <c r="A11" s="1" t="s">
        <v>96</v>
      </c>
      <c r="B11" s="5">
        <v>81.239999999999995</v>
      </c>
    </row>
    <row r="12" spans="1:2">
      <c r="A12" s="1" t="s">
        <v>97</v>
      </c>
      <c r="B12" s="5">
        <v>2.46</v>
      </c>
    </row>
    <row r="13" spans="1:2">
      <c r="A13" s="1" t="s">
        <v>98</v>
      </c>
      <c r="B13" s="5">
        <v>2.04</v>
      </c>
    </row>
    <row r="14" spans="1:2">
      <c r="A14" s="1" t="s">
        <v>99</v>
      </c>
      <c r="B14" s="5">
        <v>2.04</v>
      </c>
    </row>
    <row r="15" spans="1:2">
      <c r="A15" s="1" t="s">
        <v>100</v>
      </c>
      <c r="B15" s="5">
        <v>186.88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PSO</vt:lpstr>
      <vt:lpstr>Econ</vt:lpstr>
      <vt:lpstr>Tech</vt:lpstr>
      <vt:lpstr>Solar</vt:lpstr>
      <vt:lpstr>Net</vt:lpstr>
      <vt:lpstr>NetComponentsCost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Phy</dc:creator>
  <dc:description/>
  <cp:lastModifiedBy>EE @1PWR</cp:lastModifiedBy>
  <cp:revision>2</cp:revision>
  <dcterms:created xsi:type="dcterms:W3CDTF">2018-11-27T14:40:02Z</dcterms:created>
  <dcterms:modified xsi:type="dcterms:W3CDTF">2021-09-29T11:44:31Z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